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rndownCha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" fontId="0" fillId="0" borderId="5" applyAlignment="1" pivotButton="0" quotePrefix="0" xfId="0">
      <alignment horizontal="center"/>
    </xf>
    <xf numFmtId="0" fontId="0" fillId="2" borderId="2" pivotButton="0" quotePrefix="0" xfId="0"/>
    <xf numFmtId="0" fontId="0" fillId="2" borderId="3" pivotButton="0" quotePrefix="0" xfId="0"/>
    <xf numFmtId="16" fontId="0" fillId="2" borderId="3" applyAlignment="1" pivotButton="0" quotePrefix="0" xfId="0">
      <alignment horizontal="center"/>
    </xf>
    <xf numFmtId="0" fontId="0" fillId="2" borderId="6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left" indent="1"/>
    </xf>
    <xf numFmtId="0" fontId="0" fillId="3" borderId="6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rich>
      </tx>
      <layout>
        <manualLayout>
          <xMode val="edge"/>
          <yMode val="edge"/>
          <wMode val="factor"/>
          <hMode val="factor"/>
          <x val="0.02343044619422569"/>
          <y val="0.0185185185185185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l-NL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4237119762420136"/>
          <y val="0.1563700787401575"/>
          <w val="0.9381511574001457"/>
          <h val="0.6708623758986647"/>
        </manualLayout>
      </layout>
      <lineChart>
        <grouping val="standard"/>
        <varyColors val="0"/>
        <ser>
          <idx val="0"/>
          <order val="0"/>
          <tx>
            <strRef>
              <f>BurndownChart!$A$41</f>
              <strCache>
                <ptCount val="1"/>
                <pt idx="0">
                  <v>Nog doen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geschat</v>
                  </pt>
                  <pt idx="1">
                    <v>wk17</v>
                  </pt>
                  <pt idx="2">
                    <v>wk20</v>
                  </pt>
                  <pt idx="3">
                    <v>wk21</v>
                  </pt>
                  <pt idx="4">
                    <v>wk22</v>
                  </pt>
                  <pt idx="5">
                    <v>wk23</v>
                  </pt>
                  <pt idx="6">
                    <v>wk24</v>
                  </pt>
                  <pt idx="7">
                    <v>wk25</v>
                  </pt>
                  <pt idx="8">
                    <v>wk26</v>
                  </pt>
                </lvl>
                <lvl>
                  <pt idx="0">
                    <v>Punten</v>
                  </pt>
                  <pt idx="1">
                    <v>Sprint 0</v>
                  </pt>
                  <pt idx="2">
                    <v>Sprint 1</v>
                  </pt>
                  <pt idx="3">
                    <v>Sprint 2</v>
                  </pt>
                  <pt idx="4">
                    <v>Sprint 3</v>
                  </pt>
                  <pt idx="5">
                    <v>Sprint 4</v>
                  </pt>
                  <pt idx="6">
                    <v>Sprint 5</v>
                  </pt>
                  <pt idx="7">
                    <v>Sprint 6</v>
                  </pt>
                  <pt idx="8">
                    <v>Sprint 7</v>
                  </pt>
                </lvl>
              </multiLvlStrCache>
              <f>BurndownChart!$B$1:$J$2</f>
            </multiLvlStrRef>
          </cat>
          <val>
            <numRef>
              <f>BurndownChart!$B$41:$J$41</f>
              <numCache>
                <formatCode>General</formatCode>
                <ptCount val="9"/>
                <pt idx="0">
                  <v>48</v>
                </pt>
                <pt idx="1">
                  <v>48</v>
                </pt>
                <pt idx="2">
                  <v>48</v>
                </pt>
                <pt idx="3">
                  <v>48</v>
                </pt>
                <pt idx="4">
                  <v>48</v>
                </pt>
                <pt idx="5">
                  <v>48</v>
                </pt>
                <pt idx="6">
                  <v>48</v>
                </pt>
                <pt idx="7">
                  <v>48</v>
                </pt>
                <pt idx="8">
                  <v>48</v>
                </pt>
              </numCache>
            </numRef>
          </val>
          <smooth val="0"/>
        </ser>
        <ser>
          <idx val="1"/>
          <order val="1"/>
          <tx>
            <strRef>
              <f>BurndownChart!$A$42</f>
              <strCache>
                <ptCount val="1"/>
                <pt idx="0">
                  <v>Planning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geschat</v>
                  </pt>
                  <pt idx="1">
                    <v>wk17</v>
                  </pt>
                  <pt idx="2">
                    <v>wk20</v>
                  </pt>
                  <pt idx="3">
                    <v>wk21</v>
                  </pt>
                  <pt idx="4">
                    <v>wk22</v>
                  </pt>
                  <pt idx="5">
                    <v>wk23</v>
                  </pt>
                  <pt idx="6">
                    <v>wk24</v>
                  </pt>
                  <pt idx="7">
                    <v>wk25</v>
                  </pt>
                  <pt idx="8">
                    <v>wk26</v>
                  </pt>
                </lvl>
                <lvl>
                  <pt idx="0">
                    <v>Punten</v>
                  </pt>
                  <pt idx="1">
                    <v>Sprint 0</v>
                  </pt>
                  <pt idx="2">
                    <v>Sprint 1</v>
                  </pt>
                  <pt idx="3">
                    <v>Sprint 2</v>
                  </pt>
                  <pt idx="4">
                    <v>Sprint 3</v>
                  </pt>
                  <pt idx="5">
                    <v>Sprint 4</v>
                  </pt>
                  <pt idx="6">
                    <v>Sprint 5</v>
                  </pt>
                  <pt idx="7">
                    <v>Sprint 6</v>
                  </pt>
                  <pt idx="8">
                    <v>Sprint 7</v>
                  </pt>
                </lvl>
              </multiLvlStrCache>
              <f>BurndownChart!$B$1:$J$2</f>
            </multiLvlStrRef>
          </cat>
          <val>
            <numRef>
              <f>BurndownChart!$B$42:$J$42</f>
              <numCache>
                <formatCode>0</formatCode>
                <ptCount val="9"/>
                <pt idx="0">
                  <formatCode>General</formatCode>
                  <v>48</v>
                </pt>
                <pt idx="1">
                  <v>42</v>
                </pt>
                <pt idx="2">
                  <v>36</v>
                </pt>
                <pt idx="3">
                  <v>30</v>
                </pt>
                <pt idx="4">
                  <v>24</v>
                </pt>
                <pt idx="5">
                  <v>18</v>
                </pt>
                <pt idx="6">
                  <v>12</v>
                </pt>
                <pt idx="7">
                  <v>6</v>
                </pt>
                <pt idx="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42068960"/>
        <axId val="1542067040"/>
      </lineChart>
      <catAx>
        <axId val="154206896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l-NL"/>
          </a:p>
        </txPr>
        <crossAx val="1542067040"/>
        <crosses val="autoZero"/>
        <auto val="1"/>
        <lblAlgn val="ctr"/>
        <lblOffset val="100"/>
        <noMultiLvlLbl val="0"/>
      </catAx>
      <valAx>
        <axId val="1542067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l-NL"/>
          </a:p>
        </txPr>
        <crossAx val="1542068960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5442963692038495"/>
          <y val="0.03745370370370372"/>
          <w val="0.3241369336882979"/>
          <h val="0.05090533366587096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l-NL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377824</colOff>
      <row>1</row>
      <rowOff>0</rowOff>
    </from>
    <to>
      <col>19</col>
      <colOff>44449</colOff>
      <row>40</row>
      <rowOff>158750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13" zoomScaleNormal="100" workbookViewId="0">
      <selection activeCell="J34" sqref="J34"/>
    </sheetView>
  </sheetViews>
  <sheetFormatPr baseColWidth="8" defaultRowHeight="14.4"/>
  <cols>
    <col width="19" bestFit="1" customWidth="1" min="1" max="1"/>
    <col width="8.6640625" customWidth="1" min="3" max="10"/>
    <col width="11.21875" bestFit="1" customWidth="1" min="11" max="11"/>
  </cols>
  <sheetData>
    <row r="1">
      <c r="A1" s="11" t="n"/>
      <c r="B1" s="12" t="inlineStr">
        <is>
          <t>Punten</t>
        </is>
      </c>
      <c r="C1" s="13" t="inlineStr">
        <is>
          <t>Sprint 0</t>
        </is>
      </c>
      <c r="D1" s="13" t="inlineStr">
        <is>
          <t>Sprint 1</t>
        </is>
      </c>
      <c r="E1" s="13" t="inlineStr">
        <is>
          <t>Sprint 2</t>
        </is>
      </c>
      <c r="F1" s="13" t="inlineStr">
        <is>
          <t>Sprint 3</t>
        </is>
      </c>
      <c r="G1" s="13" t="inlineStr">
        <is>
          <t>Sprint 4</t>
        </is>
      </c>
      <c r="H1" s="13" t="inlineStr">
        <is>
          <t>Sprint 5</t>
        </is>
      </c>
      <c r="I1" s="13" t="inlineStr">
        <is>
          <t>Sprint 6</t>
        </is>
      </c>
      <c r="J1" s="13" t="inlineStr">
        <is>
          <t>Sprint 7</t>
        </is>
      </c>
    </row>
    <row r="2">
      <c r="A2" s="14" t="inlineStr">
        <is>
          <t>DoD</t>
        </is>
      </c>
      <c r="B2" s="3" t="n">
        <v>3</v>
      </c>
      <c r="C2" s="4" t="inlineStr">
        <is>
          <t>x</t>
        </is>
      </c>
      <c r="D2" s="4" t="n"/>
      <c r="E2" s="4" t="n"/>
      <c r="F2" s="4" t="n"/>
      <c r="G2" s="4" t="n"/>
      <c r="H2" s="4" t="n"/>
      <c r="I2" s="4" t="n"/>
      <c r="J2" s="4" t="n"/>
    </row>
    <row r="3">
      <c r="A3" s="15" t="inlineStr">
        <is>
          <t>Usecase diagram</t>
        </is>
      </c>
      <c r="B3" s="1" t="n">
        <v>3</v>
      </c>
      <c r="C3" s="2" t="inlineStr">
        <is>
          <t>x</t>
        </is>
      </c>
      <c r="D3" s="2" t="n"/>
      <c r="E3" s="2" t="n"/>
      <c r="F3" s="2" t="n"/>
      <c r="G3" s="2" t="n"/>
      <c r="H3" s="2" t="n"/>
      <c r="I3" s="2" t="n"/>
      <c r="J3" s="16" t="n"/>
    </row>
    <row r="4">
      <c r="A4" s="15" t="inlineStr">
        <is>
          <t>Burndownchart</t>
        </is>
      </c>
      <c r="B4" s="1" t="n">
        <v>3</v>
      </c>
      <c r="C4" s="2" t="inlineStr">
        <is>
          <t>x</t>
        </is>
      </c>
      <c r="D4" s="2" t="n"/>
      <c r="E4" s="2" t="n"/>
      <c r="F4" s="2" t="n"/>
      <c r="G4" s="2" t="n"/>
      <c r="H4" s="2" t="n"/>
      <c r="I4" s="2" t="n"/>
      <c r="J4" s="16" t="n"/>
    </row>
    <row r="5">
      <c r="A5" s="15" t="inlineStr">
        <is>
          <t>Repository maken</t>
        </is>
      </c>
      <c r="B5" s="1" t="n">
        <v>2</v>
      </c>
      <c r="C5" s="2" t="inlineStr">
        <is>
          <t>x</t>
        </is>
      </c>
      <c r="D5" s="2" t="n"/>
      <c r="E5" s="2" t="n"/>
      <c r="F5" s="2" t="n"/>
      <c r="G5" s="2" t="n"/>
      <c r="H5" s="2" t="n"/>
      <c r="I5" s="2" t="n"/>
      <c r="J5" s="16" t="n"/>
    </row>
    <row r="6">
      <c r="A6" s="15" t="inlineStr">
        <is>
          <t>US 1 - Tabellen + data</t>
        </is>
      </c>
      <c r="B6" s="1" t="n">
        <v>9</v>
      </c>
      <c r="C6" s="2" t="n"/>
      <c r="D6" s="2" t="inlineStr">
        <is>
          <t>x</t>
        </is>
      </c>
      <c r="E6" s="2" t="n"/>
      <c r="F6" s="2" t="n"/>
      <c r="G6" s="2" t="n"/>
      <c r="H6" s="2" t="n"/>
      <c r="I6" s="2" t="n"/>
      <c r="J6" s="16" t="n"/>
    </row>
    <row r="7">
      <c r="A7" s="18" t="inlineStr">
        <is>
          <t>Tabellen aanmaken</t>
        </is>
      </c>
      <c r="B7" s="1" t="n"/>
      <c r="C7" s="2" t="n"/>
      <c r="D7" s="2" t="inlineStr">
        <is>
          <t>x</t>
        </is>
      </c>
      <c r="E7" s="2" t="n"/>
      <c r="F7" s="2" t="n"/>
      <c r="G7" s="2" t="n"/>
      <c r="H7" s="2" t="n"/>
      <c r="I7" s="2" t="n"/>
      <c r="J7" s="16" t="n"/>
    </row>
    <row r="8">
      <c r="A8" s="17" t="inlineStr">
        <is>
          <t>Voorbeelddata vullen</t>
        </is>
      </c>
      <c r="B8" s="1" t="n"/>
      <c r="C8" s="2" t="n"/>
      <c r="D8" s="2" t="inlineStr">
        <is>
          <t>x</t>
        </is>
      </c>
      <c r="E8" s="2" t="n"/>
      <c r="F8" s="2" t="n"/>
      <c r="G8" s="2" t="n"/>
      <c r="H8" s="2" t="n"/>
      <c r="I8" s="2" t="n"/>
      <c r="J8" s="16" t="n"/>
    </row>
    <row r="9">
      <c r="A9" s="17" t="inlineStr">
        <is>
          <t>ERD</t>
        </is>
      </c>
      <c r="B9" s="1" t="n"/>
      <c r="C9" s="2" t="n"/>
      <c r="D9" s="2" t="inlineStr">
        <is>
          <t>x</t>
        </is>
      </c>
      <c r="E9" s="2" t="n"/>
      <c r="F9" s="2" t="n"/>
      <c r="G9" s="2" t="n"/>
      <c r="H9" s="2" t="n"/>
      <c r="I9" s="2" t="n"/>
      <c r="J9" s="16" t="n"/>
    </row>
    <row r="10">
      <c r="A10" s="17" t="inlineStr">
        <is>
          <t>US 2 - Nieuwe klant toevoegen (INSERT)</t>
        </is>
      </c>
      <c r="B10" s="1" t="n">
        <v>9</v>
      </c>
      <c r="C10" s="2" t="n"/>
      <c r="D10" s="2" t="n"/>
      <c r="E10" s="2" t="inlineStr">
        <is>
          <t>x</t>
        </is>
      </c>
      <c r="F10" s="2" t="n"/>
      <c r="G10" s="2" t="n"/>
      <c r="H10" s="2" t="n"/>
      <c r="I10" s="2" t="n"/>
      <c r="J10" s="16" t="n"/>
    </row>
    <row r="11">
      <c r="A11" s="18" t="inlineStr">
        <is>
          <t>Acceptatietest (US2)</t>
        </is>
      </c>
      <c r="B11" s="1" t="n"/>
      <c r="C11" s="2" t="n"/>
      <c r="D11" s="2" t="n"/>
      <c r="E11" s="2" t="inlineStr">
        <is>
          <t>x</t>
        </is>
      </c>
      <c r="F11" s="2" t="n"/>
      <c r="G11" s="2" t="n"/>
      <c r="H11" s="2" t="n"/>
      <c r="I11" s="2" t="n"/>
      <c r="J11" s="16" t="n"/>
    </row>
    <row r="12">
      <c r="A12" s="17" t="inlineStr">
        <is>
          <t>Unittest (US2)</t>
        </is>
      </c>
      <c r="B12" s="1" t="n"/>
      <c r="C12" s="2" t="n"/>
      <c r="D12" s="2" t="n"/>
      <c r="E12" s="2" t="inlineStr">
        <is>
          <t>x</t>
        </is>
      </c>
      <c r="F12" s="2" t="n"/>
      <c r="G12" s="2" t="n"/>
      <c r="H12" s="2" t="n"/>
      <c r="I12" s="2" t="n"/>
      <c r="J12" s="16" t="n"/>
    </row>
    <row r="13">
      <c r="A13" s="17" t="inlineStr">
        <is>
          <t>US 3 - Zoeken op klantnaam (SELECT)</t>
        </is>
      </c>
      <c r="B13" s="1" t="n">
        <v>3</v>
      </c>
      <c r="C13" s="2" t="n"/>
      <c r="D13" s="2" t="n"/>
      <c r="E13" s="2" t="n"/>
      <c r="F13" s="2" t="inlineStr">
        <is>
          <t>x</t>
        </is>
      </c>
      <c r="G13" s="2" t="n"/>
      <c r="H13" s="2" t="n"/>
      <c r="I13" s="2" t="n"/>
      <c r="J13" s="16" t="n"/>
    </row>
    <row r="14">
      <c r="A14" s="18" t="inlineStr">
        <is>
          <t>US 4 - Klant gegevens bijwerken (UPDATE)</t>
        </is>
      </c>
      <c r="B14" s="1" t="n">
        <v>3</v>
      </c>
      <c r="C14" s="2" t="n"/>
      <c r="D14" s="2" t="n"/>
      <c r="E14" s="2" t="n"/>
      <c r="F14" s="2" t="inlineStr">
        <is>
          <t>x</t>
        </is>
      </c>
      <c r="G14" s="2" t="n"/>
      <c r="H14" s="2" t="n"/>
      <c r="I14" s="2" t="n"/>
      <c r="J14" s="16" t="n"/>
    </row>
    <row r="15">
      <c r="A15" s="17" t="inlineStr">
        <is>
          <t>US 5 - Klanten verwijderen (DELETE)</t>
        </is>
      </c>
      <c r="B15" s="1" t="n">
        <v>3</v>
      </c>
      <c r="C15" s="2" t="n"/>
      <c r="D15" s="2" t="n"/>
      <c r="E15" s="2" t="n"/>
      <c r="F15" s="2" t="inlineStr">
        <is>
          <t>x</t>
        </is>
      </c>
      <c r="G15" s="2" t="n"/>
      <c r="H15" s="2" t="n"/>
      <c r="I15" s="2" t="n"/>
      <c r="J15" s="16" t="n"/>
    </row>
    <row r="16">
      <c r="A16" s="18" t="inlineStr">
        <is>
          <t>Acceptatietest (Sprint3)</t>
        </is>
      </c>
      <c r="B16" s="1" t="n"/>
      <c r="C16" s="2" t="n"/>
      <c r="D16" s="2" t="n"/>
      <c r="E16" s="2" t="n"/>
      <c r="F16" s="2" t="inlineStr">
        <is>
          <t>x</t>
        </is>
      </c>
      <c r="G16" s="2" t="n"/>
      <c r="H16" s="2" t="n"/>
      <c r="I16" s="2" t="n"/>
      <c r="J16" s="16" t="n"/>
    </row>
    <row r="17">
      <c r="A17" s="17" t="inlineStr">
        <is>
          <t>Unittest (Sprint3)</t>
        </is>
      </c>
      <c r="B17" s="1" t="n"/>
      <c r="C17" s="2" t="n"/>
      <c r="D17" s="2" t="n"/>
      <c r="E17" s="2" t="n"/>
      <c r="F17" s="2" t="inlineStr">
        <is>
          <t>x</t>
        </is>
      </c>
      <c r="G17" s="2" t="n"/>
      <c r="H17" s="2" t="n"/>
      <c r="I17" s="2" t="n"/>
      <c r="J17" s="16" t="n"/>
    </row>
    <row r="18">
      <c r="A18" s="18" t="inlineStr">
        <is>
          <t>Classdiagram (Sprint3)</t>
        </is>
      </c>
      <c r="B18" s="1" t="n"/>
      <c r="C18" s="2" t="n"/>
      <c r="D18" s="2" t="n"/>
      <c r="E18" s="2" t="n"/>
      <c r="F18" s="2" t="inlineStr">
        <is>
          <t>x</t>
        </is>
      </c>
      <c r="G18" s="2" t="n"/>
      <c r="H18" s="2" t="n"/>
      <c r="I18" s="2" t="n"/>
      <c r="J18" s="16" t="n"/>
    </row>
    <row r="19">
      <c r="A19" s="17" t="inlineStr">
        <is>
          <t>US 6 - Artikelen tonen (SELECT)</t>
        </is>
      </c>
      <c r="B19" s="1" t="n">
        <v>2</v>
      </c>
      <c r="C19" s="2" t="n"/>
      <c r="D19" s="2" t="n"/>
      <c r="E19" s="2" t="n"/>
      <c r="F19" s="2" t="n"/>
      <c r="G19" t="inlineStr">
        <is>
          <t>x</t>
        </is>
      </c>
      <c r="H19" s="2" t="n"/>
      <c r="I19" s="2" t="n"/>
      <c r="J19" s="16" t="n"/>
    </row>
    <row r="20">
      <c r="A20" s="18" t="inlineStr">
        <is>
          <t>US 7 - Artikelen aanmaken (INSERT)</t>
        </is>
      </c>
      <c r="B20" s="1" t="n">
        <v>2</v>
      </c>
      <c r="C20" s="2" t="n"/>
      <c r="D20" s="2" t="n"/>
      <c r="E20" s="2" t="n"/>
      <c r="F20" s="2" t="n"/>
      <c r="G20" s="2" t="inlineStr">
        <is>
          <t>x</t>
        </is>
      </c>
      <c r="H20" s="2" t="n"/>
      <c r="I20" s="2" t="n"/>
      <c r="J20" s="16" t="n"/>
    </row>
    <row r="21">
      <c r="A21" s="17" t="inlineStr">
        <is>
          <t>US 8 - Artikel bijwerken (UPDATE)</t>
        </is>
      </c>
      <c r="B21" s="1" t="n">
        <v>2</v>
      </c>
      <c r="C21" s="2" t="n"/>
      <c r="D21" s="2" t="n"/>
      <c r="E21" s="2" t="n"/>
      <c r="G21" s="2" t="inlineStr">
        <is>
          <t>x</t>
        </is>
      </c>
      <c r="H21" s="2" t="n"/>
      <c r="I21" s="2" t="n"/>
      <c r="J21" s="16" t="n"/>
    </row>
    <row r="22">
      <c r="A22" s="18" t="inlineStr">
        <is>
          <t>US 9 - Artikel verwijderen (DELETE)</t>
        </is>
      </c>
      <c r="B22" s="1" t="n">
        <v>3</v>
      </c>
      <c r="C22" s="2" t="n"/>
      <c r="D22" s="2" t="n"/>
      <c r="E22" s="2" t="n"/>
      <c r="F22" s="2" t="n"/>
      <c r="G22" s="2" t="inlineStr">
        <is>
          <t>x</t>
        </is>
      </c>
      <c r="H22" s="2" t="n"/>
      <c r="I22" s="2" t="n"/>
      <c r="J22" s="16" t="n"/>
    </row>
    <row r="23">
      <c r="A23" s="17" t="inlineStr">
        <is>
          <t>Acceptatietest (Sprint4)</t>
        </is>
      </c>
      <c r="B23" s="1" t="n"/>
      <c r="C23" s="2" t="n"/>
      <c r="D23" s="2" t="n"/>
      <c r="E23" s="2" t="n"/>
      <c r="G23" s="2" t="inlineStr">
        <is>
          <t>x</t>
        </is>
      </c>
      <c r="H23" s="2" t="n"/>
      <c r="I23" s="2" t="n"/>
      <c r="J23" s="16" t="n"/>
    </row>
    <row r="24">
      <c r="A24" s="17" t="inlineStr">
        <is>
          <t>Unittest (Sprint4)</t>
        </is>
      </c>
      <c r="B24" s="1" t="n"/>
      <c r="C24" s="2" t="n"/>
      <c r="D24" s="2" t="n"/>
      <c r="E24" s="2" t="n"/>
      <c r="G24" s="2" t="inlineStr">
        <is>
          <t>x</t>
        </is>
      </c>
      <c r="H24" s="2" t="n"/>
      <c r="I24" s="2" t="n"/>
      <c r="J24" s="16" t="n"/>
    </row>
    <row r="25">
      <c r="A25" s="18" t="inlineStr">
        <is>
          <t>Classdiagram (Sprint4)</t>
        </is>
      </c>
      <c r="B25" s="1" t="n"/>
      <c r="C25" s="2" t="n"/>
      <c r="D25" s="2" t="n"/>
      <c r="E25" s="2" t="n"/>
      <c r="F25" s="2" t="n"/>
      <c r="G25" s="2" t="inlineStr">
        <is>
          <t>x</t>
        </is>
      </c>
      <c r="H25" s="2" t="n"/>
      <c r="I25" s="2" t="n"/>
      <c r="J25" s="16" t="n"/>
    </row>
    <row r="26">
      <c r="A26" s="17" t="inlineStr">
        <is>
          <t>US 10 - Verkooporders tonen (SELECT)</t>
        </is>
      </c>
      <c r="B26" s="1" t="n">
        <v>4</v>
      </c>
      <c r="C26" s="2" t="n"/>
      <c r="D26" s="2" t="n"/>
      <c r="E26" s="2" t="n"/>
      <c r="G26" s="2" t="n"/>
      <c r="H26" s="2" t="inlineStr">
        <is>
          <t>x</t>
        </is>
      </c>
      <c r="J26" s="16" t="n"/>
    </row>
    <row r="27">
      <c r="A27" s="18" t="inlineStr">
        <is>
          <t>US 11 - Verkooporder toevoegen (INSERT)</t>
        </is>
      </c>
      <c r="B27" s="1" t="n">
        <v>5</v>
      </c>
      <c r="C27" s="2" t="n"/>
      <c r="D27" s="2" t="n"/>
      <c r="E27" s="2" t="n"/>
      <c r="F27" s="2" t="n"/>
      <c r="G27" s="2" t="n"/>
      <c r="H27" s="2" t="inlineStr">
        <is>
          <t>x</t>
        </is>
      </c>
      <c r="I27" s="2" t="n"/>
      <c r="J27" s="16" t="n"/>
    </row>
    <row r="28">
      <c r="A28" s="17" t="inlineStr">
        <is>
          <t>Acceptatietest (Sprint5)</t>
        </is>
      </c>
      <c r="B28" s="1" t="n"/>
      <c r="C28" s="2" t="n"/>
      <c r="D28" s="2" t="n"/>
      <c r="E28" s="2" t="n"/>
      <c r="G28" s="2" t="n"/>
      <c r="H28" s="2" t="inlineStr">
        <is>
          <t>x</t>
        </is>
      </c>
      <c r="J28" s="16" t="n"/>
    </row>
    <row r="29">
      <c r="A29" s="18" t="inlineStr">
        <is>
          <t>Classdiagram (Sprint5)</t>
        </is>
      </c>
      <c r="B29" s="1" t="n"/>
      <c r="C29" s="2" t="n"/>
      <c r="D29" s="2" t="n"/>
      <c r="E29" s="2" t="n"/>
      <c r="F29" s="2" t="n"/>
      <c r="G29" s="2" t="n"/>
      <c r="H29" s="2" t="inlineStr">
        <is>
          <t>x</t>
        </is>
      </c>
      <c r="I29" s="2" t="n"/>
      <c r="J29" s="16" t="n"/>
    </row>
    <row r="30">
      <c r="A30" s="17" t="inlineStr">
        <is>
          <t>US 12 - Verkooporder bijwerken (UPDATE)</t>
        </is>
      </c>
      <c r="B30" s="1" t="n">
        <v>4</v>
      </c>
      <c r="C30" s="2" t="n"/>
      <c r="D30" s="2" t="n"/>
      <c r="E30" s="2" t="n"/>
      <c r="G30" s="2" t="n"/>
      <c r="H30" s="2" t="n"/>
      <c r="I30" t="inlineStr">
        <is>
          <t>x</t>
        </is>
      </c>
      <c r="J30" s="16" t="n"/>
    </row>
    <row r="31">
      <c r="A31" s="18" t="inlineStr">
        <is>
          <t>US 13 - Verkooporders verwijderen (DELETE)</t>
        </is>
      </c>
      <c r="B31" s="1" t="n">
        <v>5</v>
      </c>
      <c r="C31" s="2" t="n"/>
      <c r="D31" s="2" t="n"/>
      <c r="E31" s="2" t="n"/>
      <c r="F31" s="2" t="n"/>
      <c r="G31" s="2" t="n"/>
      <c r="H31" s="2" t="n"/>
      <c r="I31" t="inlineStr">
        <is>
          <t>x</t>
        </is>
      </c>
      <c r="J31" s="16" t="n"/>
    </row>
    <row r="32">
      <c r="A32" s="17" t="inlineStr">
        <is>
          <t>US 14 - Orderstatus bijwerken</t>
        </is>
      </c>
      <c r="B32" s="1" t="n"/>
      <c r="C32" s="2" t="n"/>
      <c r="D32" s="2" t="n"/>
      <c r="E32" s="2" t="n"/>
      <c r="G32" s="2" t="n"/>
      <c r="H32" s="2" t="n"/>
      <c r="J32" s="16" t="inlineStr">
        <is>
          <t>x</t>
        </is>
      </c>
    </row>
    <row r="33">
      <c r="A33" s="18" t="inlineStr">
        <is>
          <t>US 15 - Dynamisch menu (login)</t>
        </is>
      </c>
      <c r="B33" s="1" t="n"/>
      <c r="C33" s="2" t="n"/>
      <c r="D33" s="2" t="n"/>
      <c r="E33" s="2" t="n"/>
      <c r="F33" s="2" t="n"/>
      <c r="G33" s="2" t="n"/>
      <c r="H33" s="2" t="n"/>
      <c r="I33" s="2" t="n"/>
      <c r="J33" s="16" t="inlineStr">
        <is>
          <t>x</t>
        </is>
      </c>
    </row>
    <row r="34">
      <c r="A34" s="17" t="n"/>
      <c r="B34" s="1" t="n"/>
      <c r="C34" s="2" t="n"/>
      <c r="D34" s="2" t="n"/>
      <c r="E34" s="2" t="n"/>
      <c r="G34" s="2" t="n"/>
      <c r="H34" s="2" t="n"/>
      <c r="I34" s="2" t="n"/>
    </row>
    <row r="35">
      <c r="A35" s="18" t="n"/>
      <c r="B35" s="1" t="n"/>
      <c r="C35" s="2" t="n"/>
      <c r="D35" s="2" t="n"/>
      <c r="E35" s="2" t="n"/>
      <c r="F35" s="2" t="n"/>
      <c r="G35" s="2" t="n"/>
      <c r="H35" s="2" t="n"/>
      <c r="I35" s="2" t="n"/>
      <c r="J35" s="16" t="n"/>
    </row>
    <row r="36">
      <c r="A36" s="17" t="n"/>
      <c r="B36" s="1" t="n"/>
      <c r="C36" s="2" t="n"/>
      <c r="D36" s="2" t="n"/>
      <c r="E36" s="2" t="n"/>
      <c r="G36" s="2" t="n"/>
      <c r="H36" s="2" t="n"/>
      <c r="I36" s="2" t="n"/>
      <c r="J36" s="16" t="n"/>
    </row>
    <row r="37">
      <c r="A37" s="18" t="n"/>
      <c r="B37" s="1" t="n"/>
      <c r="C37" s="2" t="n"/>
      <c r="D37" s="2" t="n"/>
      <c r="E37" s="2" t="n"/>
      <c r="F37" s="2" t="n"/>
      <c r="G37" s="2" t="n"/>
      <c r="H37" s="2" t="n"/>
      <c r="I37" s="2" t="n"/>
      <c r="J37" s="16" t="n"/>
    </row>
    <row r="38">
      <c r="A38" s="17" t="n"/>
      <c r="B38" s="1" t="n"/>
      <c r="C38" s="2" t="n"/>
      <c r="D38" s="2" t="n"/>
      <c r="E38" s="2" t="n"/>
      <c r="F38" s="2" t="n"/>
      <c r="G38" s="2" t="n"/>
      <c r="H38" s="2" t="n"/>
      <c r="I38" s="2" t="n"/>
      <c r="J38" s="16" t="n"/>
    </row>
    <row r="39">
      <c r="A39" s="18" t="n"/>
      <c r="B39" s="1" t="n"/>
      <c r="C39" s="2" t="n"/>
      <c r="D39" s="2" t="n"/>
      <c r="E39" s="2" t="n"/>
      <c r="F39" s="2" t="n"/>
      <c r="G39" s="2" t="n"/>
      <c r="H39" s="2" t="n"/>
      <c r="I39" s="2" t="n"/>
      <c r="J39" s="16" t="n"/>
    </row>
    <row r="40" ht="15" customHeight="1" thickBot="1">
      <c r="A40" s="17" t="n"/>
      <c r="B40" s="1" t="n"/>
      <c r="C40" s="2" t="n"/>
      <c r="D40" s="2" t="n"/>
      <c r="E40" s="2" t="n"/>
      <c r="F40" s="2" t="n"/>
      <c r="G40" s="2" t="n"/>
      <c r="H40" s="2" t="n"/>
      <c r="I40" s="2" t="n"/>
      <c r="J40" s="16" t="n"/>
    </row>
    <row r="41">
      <c r="A41" s="5" t="inlineStr">
        <is>
          <t>Nog doen</t>
        </is>
      </c>
      <c r="B41" s="6">
        <f>SUM(B3:B40)</f>
        <v/>
      </c>
      <c r="C41" s="7">
        <f>B$41-SUM(C3:C40)</f>
        <v/>
      </c>
      <c r="D41" s="7">
        <f>C$41-SUM(D3:D40)</f>
        <v/>
      </c>
      <c r="E41" s="7">
        <f>D$41-SUM(E3:E40)</f>
        <v/>
      </c>
      <c r="F41" s="7">
        <f>E$41-SUM(F3:F40)</f>
        <v/>
      </c>
      <c r="G41" s="7">
        <f>F$41-SUM(G3:G40)</f>
        <v/>
      </c>
      <c r="H41" s="7">
        <f>G$41-SUM(H3:H40)</f>
        <v/>
      </c>
      <c r="I41" s="7">
        <f>H$41-SUM(I3:I40)</f>
        <v/>
      </c>
      <c r="J41" s="7">
        <f>I$41-SUM(J3:J40)</f>
        <v/>
      </c>
    </row>
    <row r="42" ht="15" customHeight="1" thickBot="1">
      <c r="A42" s="8" t="inlineStr">
        <is>
          <t>Planning</t>
        </is>
      </c>
      <c r="B42" s="9">
        <f>B41</f>
        <v/>
      </c>
      <c r="C42" s="10">
        <f>B$42-$B$42/COUNTA($C$1:$J$1)</f>
        <v/>
      </c>
      <c r="D42" s="10">
        <f>C$42-$B$42/COUNTA($C$1:$J$1)</f>
        <v/>
      </c>
      <c r="E42" s="10">
        <f>D$42-$B$42/COUNTA($C$1:$J$1)</f>
        <v/>
      </c>
      <c r="F42" s="10">
        <f>E$42-$B$42/COUNTA($C$1:$J$1)</f>
        <v/>
      </c>
      <c r="G42" s="10">
        <f>F$42-$B$42/COUNTA($C$1:$J$1)</f>
        <v/>
      </c>
      <c r="H42" s="10">
        <f>G$42-$B$42/COUNTA($C$1:$J$1)</f>
        <v/>
      </c>
      <c r="I42" s="10">
        <f>H$42-$B$42/COUNTA($C$1:$J$1)</f>
        <v/>
      </c>
      <c r="J42" s="10">
        <f>I$42-$B$42/COUNTA($C$1:$J$1)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 Wigmans</dc:creator>
  <dcterms:created xmlns:dcterms="http://purl.org/dc/terms/" xmlns:xsi="http://www.w3.org/2001/XMLSchema-instance" xsi:type="dcterms:W3CDTF">2024-04-10T07:06:22Z</dcterms:created>
  <dcterms:modified xmlns:dcterms="http://purl.org/dc/terms/" xmlns:xsi="http://www.w3.org/2001/XMLSchema-instance" xsi:type="dcterms:W3CDTF">2026-02-12T10:37:30Z</dcterms:modified>
  <cp:lastModifiedBy>Rob Wigmans</cp:lastModifiedBy>
</cp:coreProperties>
</file>